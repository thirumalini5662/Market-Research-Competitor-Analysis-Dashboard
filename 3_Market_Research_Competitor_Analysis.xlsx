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Data" sheetId="1" state="visible" r:id="rId3"/>
    <sheet name="BenchmarkingMatrix" sheetId="2" state="visible" r:id="rId4"/>
    <sheet name="SWOT_Analysis" sheetId="3" state="visible" r:id="rId5"/>
    <sheet name="MarketTren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<sst xmlns="http://schemas.openxmlformats.org/spreadsheetml/2006/main" count="82" uniqueCount="70">
  <si>
    <t xml:space="preserve">Market Research &amp; Competitor Analysis – Food Delivery India 2025</t>
  </si>
  <si>
    <t xml:space="preserve">Competitor</t>
  </si>
  <si>
    <t xml:space="preserve">Founded</t>
  </si>
  <si>
    <t xml:space="preserve">HQ</t>
  </si>
  <si>
    <t xml:space="preserve">Market Share (%)</t>
  </si>
  <si>
    <t xml:space="preserve">App Rating</t>
  </si>
  <si>
    <t xml:space="preserve">Monthly Orders (M)</t>
  </si>
  <si>
    <t xml:space="preserve">Delivery Fee (₹)</t>
  </si>
  <si>
    <t xml:space="preserve">Strengths</t>
  </si>
  <si>
    <t xml:space="preserve">Weaknesses</t>
  </si>
  <si>
    <t xml:space="preserve">Swiggy</t>
  </si>
  <si>
    <t xml:space="preserve">Bengaluru</t>
  </si>
  <si>
    <t xml:space="preserve">Largest network, strong logistics</t>
  </si>
  <si>
    <t xml:space="preserve">High delivery costs, thin margins</t>
  </si>
  <si>
    <t xml:space="preserve">Zomato</t>
  </si>
  <si>
    <t xml:space="preserve">Gurugram</t>
  </si>
  <si>
    <t xml:space="preserve">Brand recall, Blinkit synergy</t>
  </si>
  <si>
    <t xml:space="preserve">Losses, customer retention issues</t>
  </si>
  <si>
    <t xml:space="preserve">Uber Eats</t>
  </si>
  <si>
    <t xml:space="preserve">Global</t>
  </si>
  <si>
    <t xml:space="preserve">Global trust, easy UI</t>
  </si>
  <si>
    <t xml:space="preserve">Limited reach, high pricing</t>
  </si>
  <si>
    <t xml:space="preserve">Dunzo</t>
  </si>
  <si>
    <t xml:space="preserve">Quick commerce, 10-min delivery</t>
  </si>
  <si>
    <t xml:space="preserve">Funding constraints, small scale</t>
  </si>
  <si>
    <t xml:space="preserve">ONDC</t>
  </si>
  <si>
    <t xml:space="preserve">New Delhi</t>
  </si>
  <si>
    <t xml:space="preserve">Govt backed, low commission</t>
  </si>
  <si>
    <t xml:space="preserve">Early stage, limited awareness</t>
  </si>
  <si>
    <t xml:space="preserve">Competitor Benchmarking Matrix (Score 1–5)</t>
  </si>
  <si>
    <t xml:space="preserve">Feature / Parameter</t>
  </si>
  <si>
    <t xml:space="preserve">App User Experience</t>
  </si>
  <si>
    <t xml:space="preserve">Delivery Speed</t>
  </si>
  <si>
    <t xml:space="preserve">Pricing / Fees</t>
  </si>
  <si>
    <t xml:space="preserve">Restaurant Variety</t>
  </si>
  <si>
    <t xml:space="preserve">Customer Support</t>
  </si>
  <si>
    <t xml:space="preserve">Geographic Reach</t>
  </si>
  <si>
    <t xml:space="preserve">Loyalty Program</t>
  </si>
  <si>
    <t xml:space="preserve">Tech Innovation</t>
  </si>
  <si>
    <t xml:space="preserve">AVERAGE SCORE</t>
  </si>
  <si>
    <t xml:space="preserve">SWOT Analysis – Swiggy vs Zomato</t>
  </si>
  <si>
    <t xml:space="preserve">SWIGGY</t>
  </si>
  <si>
    <t xml:space="preserve">ZOMATO</t>
  </si>
  <si>
    <t xml:space="preserve">Largest delivery network
Strong brand
Tech capabilities
Diversity of cuisines</t>
  </si>
  <si>
    <t xml:space="preserve">Strong brand recall
Blinkit integration
Zomato Gold loyalty
International experience</t>
  </si>
  <si>
    <t xml:space="preserve">High delivery costs
Thin profit margins
High employee attrition</t>
  </si>
  <si>
    <t xml:space="preserve">Continued net losses
Customer complaints on pricing
Dependence on urban markets</t>
  </si>
  <si>
    <t xml:space="preserve">Opportunities</t>
  </si>
  <si>
    <t xml:space="preserve">Tier 2/3 city expansion
Cloud kitchen partnerships
Subscription models</t>
  </si>
  <si>
    <t xml:space="preserve">Quick commerce growth
B2B catering
Hyperlocal delivery</t>
  </si>
  <si>
    <t xml:space="preserve">Threats</t>
  </si>
  <si>
    <t xml:space="preserve">Zomato competition
Govt regulation
Rising fuel costs</t>
  </si>
  <si>
    <t xml:space="preserve">Swiggy competition
Funding pressure
New entrants (ONDC)</t>
  </si>
  <si>
    <t xml:space="preserve">India Food Delivery Market – Growth Trends</t>
  </si>
  <si>
    <t xml:space="preserve">Year</t>
  </si>
  <si>
    <t xml:space="preserve">Market Size (₹ Cr)</t>
  </si>
  <si>
    <t xml:space="preserve">YoY Growth %</t>
  </si>
  <si>
    <t xml:space="preserve">Active Users (M)</t>
  </si>
  <si>
    <t xml:space="preserve">Key Trend</t>
  </si>
  <si>
    <t xml:space="preserve">-</t>
  </si>
  <si>
    <t xml:space="preserve">Post-COVID recovery, cloud kitchens boom</t>
  </si>
  <si>
    <t xml:space="preserve">Quick commerce enters food delivery space</t>
  </si>
  <si>
    <t xml:space="preserve">Zomato-Blinkit merger, B2B expansion</t>
  </si>
  <si>
    <t xml:space="preserve">ONDC disruption, subscription models grow</t>
  </si>
  <si>
    <t xml:space="preserve">AI-powered personalization, Tier 2 explosion</t>
  </si>
  <si>
    <t xml:space="preserve">Drone delivery pilots, carbon-neutral push</t>
  </si>
  <si>
    <t xml:space="preserve">Hyper-local 5-min delivery mainstream</t>
  </si>
  <si>
    <t xml:space="preserve">Autonomous delivery vehicles emerging</t>
  </si>
  <si>
    <t xml:space="preserve">Regional cuisine global expansion</t>
  </si>
  <si>
    <t xml:space="preserve">Market maturity, consolidation phase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</si>
</sst>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₹#,##0.00"/>
    <numFmt numFmtId="167" formatCode="0.0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DEEFF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66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9" min="8" style="0" width="3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s">
        <v>10</v>
      </c>
      <c r="B3" s="4" t="n">
        <v>2014</v>
      </c>
      <c r="C3" s="4" t="s">
        <v>11</v>
      </c>
      <c r="D3" s="5" t="n">
        <v>0.45</v>
      </c>
      <c r="E3" s="4" t="n">
        <v>4.3</v>
      </c>
      <c r="F3" s="4" t="n">
        <v>80</v>
      </c>
      <c r="G3" s="6" t="n">
        <v>30</v>
      </c>
      <c r="H3" s="3" t="s">
        <v>12</v>
      </c>
      <c r="I3" s="3" t="s">
        <v>13</v>
      </c>
    </row>
    <row r="4" customFormat="false" ht="15" hidden="false" customHeight="false" outlineLevel="0" collapsed="false">
      <c r="A4" s="7" t="s">
        <v>14</v>
      </c>
      <c r="B4" s="8" t="n">
        <v>2008</v>
      </c>
      <c r="C4" s="8" t="s">
        <v>15</v>
      </c>
      <c r="D4" s="9" t="n">
        <v>0.4</v>
      </c>
      <c r="E4" s="8" t="n">
        <v>4.2</v>
      </c>
      <c r="F4" s="8" t="n">
        <v>72</v>
      </c>
      <c r="G4" s="10" t="n">
        <v>25</v>
      </c>
      <c r="H4" s="7" t="s">
        <v>16</v>
      </c>
      <c r="I4" s="7" t="s">
        <v>17</v>
      </c>
    </row>
    <row r="5" customFormat="false" ht="15" hidden="false" customHeight="false" outlineLevel="0" collapsed="false">
      <c r="A5" s="3" t="s">
        <v>18</v>
      </c>
      <c r="B5" s="4" t="n">
        <v>2017</v>
      </c>
      <c r="C5" s="4" t="s">
        <v>19</v>
      </c>
      <c r="D5" s="5" t="n">
        <v>0.05</v>
      </c>
      <c r="E5" s="4" t="n">
        <v>4</v>
      </c>
      <c r="F5" s="4" t="n">
        <v>10</v>
      </c>
      <c r="G5" s="6" t="n">
        <v>35</v>
      </c>
      <c r="H5" s="3" t="s">
        <v>20</v>
      </c>
      <c r="I5" s="3" t="s">
        <v>21</v>
      </c>
    </row>
    <row r="6" customFormat="false" ht="15" hidden="false" customHeight="false" outlineLevel="0" collapsed="false">
      <c r="A6" s="7" t="s">
        <v>22</v>
      </c>
      <c r="B6" s="8" t="n">
        <v>2015</v>
      </c>
      <c r="C6" s="8" t="s">
        <v>11</v>
      </c>
      <c r="D6" s="9" t="n">
        <v>0.07</v>
      </c>
      <c r="E6" s="8" t="n">
        <v>4.1</v>
      </c>
      <c r="F6" s="8" t="n">
        <v>15</v>
      </c>
      <c r="G6" s="10" t="n">
        <v>20</v>
      </c>
      <c r="H6" s="7" t="s">
        <v>23</v>
      </c>
      <c r="I6" s="7" t="s">
        <v>24</v>
      </c>
    </row>
    <row r="7" customFormat="false" ht="15" hidden="false" customHeight="false" outlineLevel="0" collapsed="false">
      <c r="A7" s="3" t="s">
        <v>25</v>
      </c>
      <c r="B7" s="4" t="n">
        <v>2022</v>
      </c>
      <c r="C7" s="4" t="s">
        <v>26</v>
      </c>
      <c r="D7" s="5" t="n">
        <v>0.03</v>
      </c>
      <c r="E7" s="4" t="n">
        <v>3.8</v>
      </c>
      <c r="F7" s="4" t="n">
        <v>5</v>
      </c>
      <c r="G7" s="6" t="n">
        <v>10</v>
      </c>
      <c r="H7" s="3" t="s">
        <v>27</v>
      </c>
      <c r="I7" s="3" t="s">
        <v>28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20"/>
    <col collapsed="false" customWidth="true" hidden="false" outlineLevel="0" max="7" min="7" style="0" width="4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30</v>
      </c>
      <c r="B2" s="2" t="s">
        <v>10</v>
      </c>
      <c r="C2" s="2" t="s">
        <v>14</v>
      </c>
      <c r="D2" s="2" t="s">
        <v>18</v>
      </c>
      <c r="E2" s="2" t="s">
        <v>22</v>
      </c>
      <c r="F2" s="2" t="s">
        <v>25</v>
      </c>
    </row>
    <row r="3" customFormat="false" ht="15" hidden="false" customHeight="false" outlineLevel="0" collapsed="false">
      <c r="A3" s="11" t="s">
        <v>31</v>
      </c>
      <c r="B3" s="12" t="n">
        <v>4.5</v>
      </c>
      <c r="C3" s="13" t="n">
        <v>4.3</v>
      </c>
      <c r="D3" s="13" t="n">
        <v>4</v>
      </c>
      <c r="E3" s="13" t="n">
        <v>3.8</v>
      </c>
      <c r="F3" s="13" t="n">
        <v>3.5</v>
      </c>
    </row>
    <row r="4" customFormat="false" ht="15" hidden="false" customHeight="false" outlineLevel="0" collapsed="false">
      <c r="A4" s="14" t="s">
        <v>32</v>
      </c>
      <c r="B4" s="13" t="n">
        <v>4</v>
      </c>
      <c r="C4" s="13" t="n">
        <v>3.8</v>
      </c>
      <c r="D4" s="13" t="n">
        <v>3.5</v>
      </c>
      <c r="E4" s="12" t="n">
        <v>5</v>
      </c>
      <c r="F4" s="15" t="n">
        <v>3</v>
      </c>
    </row>
    <row r="5" customFormat="false" ht="15" hidden="false" customHeight="false" outlineLevel="0" collapsed="false">
      <c r="A5" s="11" t="s">
        <v>33</v>
      </c>
      <c r="B5" s="15" t="n">
        <v>3</v>
      </c>
      <c r="C5" s="13" t="n">
        <v>3.5</v>
      </c>
      <c r="D5" s="15" t="n">
        <v>2.5</v>
      </c>
      <c r="E5" s="12" t="n">
        <v>4.5</v>
      </c>
      <c r="F5" s="12" t="n">
        <v>5</v>
      </c>
    </row>
    <row r="6" customFormat="false" ht="15" hidden="false" customHeight="false" outlineLevel="0" collapsed="false">
      <c r="A6" s="14" t="s">
        <v>34</v>
      </c>
      <c r="B6" s="12" t="n">
        <v>5</v>
      </c>
      <c r="C6" s="12" t="n">
        <v>4.8</v>
      </c>
      <c r="D6" s="13" t="n">
        <v>3.5</v>
      </c>
      <c r="E6" s="15" t="n">
        <v>3</v>
      </c>
      <c r="F6" s="15" t="n">
        <v>3.2</v>
      </c>
    </row>
    <row r="7" customFormat="false" ht="15" hidden="false" customHeight="false" outlineLevel="0" collapsed="false">
      <c r="A7" s="11" t="s">
        <v>35</v>
      </c>
      <c r="B7" s="13" t="n">
        <v>3.5</v>
      </c>
      <c r="C7" s="15" t="n">
        <v>3.2</v>
      </c>
      <c r="D7" s="15" t="n">
        <v>3</v>
      </c>
      <c r="E7" s="15" t="n">
        <v>3</v>
      </c>
      <c r="F7" s="15" t="n">
        <v>2.5</v>
      </c>
    </row>
    <row r="8" customFormat="false" ht="15" hidden="false" customHeight="false" outlineLevel="0" collapsed="false">
      <c r="A8" s="14" t="s">
        <v>36</v>
      </c>
      <c r="B8" s="12" t="n">
        <v>5</v>
      </c>
      <c r="C8" s="12" t="n">
        <v>4.8</v>
      </c>
      <c r="D8" s="15" t="n">
        <v>3</v>
      </c>
      <c r="E8" s="13" t="n">
        <v>3.5</v>
      </c>
      <c r="F8" s="15" t="n">
        <v>3</v>
      </c>
    </row>
    <row r="9" customFormat="false" ht="15" hidden="false" customHeight="false" outlineLevel="0" collapsed="false">
      <c r="A9" s="11" t="s">
        <v>37</v>
      </c>
      <c r="B9" s="13" t="n">
        <v>4</v>
      </c>
      <c r="C9" s="12" t="n">
        <v>4.5</v>
      </c>
      <c r="D9" s="15" t="n">
        <v>3</v>
      </c>
      <c r="E9" s="15" t="n">
        <v>2.5</v>
      </c>
      <c r="F9" s="16" t="n">
        <v>2</v>
      </c>
    </row>
    <row r="10" customFormat="false" ht="15" hidden="false" customHeight="false" outlineLevel="0" collapsed="false">
      <c r="A10" s="14" t="s">
        <v>38</v>
      </c>
      <c r="B10" s="13" t="n">
        <v>4.2</v>
      </c>
      <c r="C10" s="13" t="n">
        <v>4</v>
      </c>
      <c r="D10" s="13" t="n">
        <v>3.8</v>
      </c>
      <c r="E10" s="12" t="n">
        <v>4.5</v>
      </c>
      <c r="F10" s="13" t="n">
        <v>3.5</v>
      </c>
    </row>
    <row r="11" customFormat="false" ht="15" hidden="false" customHeight="false" outlineLevel="0" collapsed="false">
      <c r="A11" s="17" t="s">
        <v>39</v>
      </c>
      <c r="B11" s="18" t="n">
        <f aca="false">AVERAGE(B3:B10)</f>
        <v>4.15</v>
      </c>
      <c r="C11" s="18" t="n">
        <f aca="false">AVERAGE(C3:C10)</f>
        <v>4.1125</v>
      </c>
      <c r="D11" s="18" t="n">
        <f aca="false">AVERAGE(D3:D10)</f>
        <v>3.2875</v>
      </c>
      <c r="E11" s="18" t="n">
        <f aca="false">AVERAGE(E3:E10)</f>
        <v>3.725</v>
      </c>
      <c r="F11" s="18" t="n">
        <f aca="false">AVERAGE(F3:F10)</f>
        <v>3.2125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34"/>
    <col collapsed="false" customWidth="true" hidden="false" outlineLevel="0" max="5" min="5" style="0" width="4"/>
  </cols>
  <sheetData>
    <row r="1" customFormat="false" ht="27.75" hidden="false" customHeight="true" outlineLevel="0" collapsed="false">
      <c r="A1" s="1" t="s">
        <v>40</v>
      </c>
      <c r="B1" s="1"/>
      <c r="C1" s="1"/>
      <c r="D1" s="1"/>
      <c r="E1" s="1"/>
    </row>
    <row r="2" customFormat="false" ht="15" hidden="false" customHeight="false" outlineLevel="0" collapsed="false">
      <c r="A2" s="19" t="s">
        <v>41</v>
      </c>
      <c r="B2" s="19"/>
      <c r="C2" s="19" t="s">
        <v>42</v>
      </c>
      <c r="D2" s="19"/>
    </row>
    <row r="3" customFormat="false" ht="69.75" hidden="false" customHeight="true" outlineLevel="0" collapsed="false">
      <c r="A3" s="20" t="s">
        <v>8</v>
      </c>
      <c r="B3" s="21" t="s">
        <v>43</v>
      </c>
      <c r="C3" s="20" t="s">
        <v>8</v>
      </c>
      <c r="D3" s="21" t="s">
        <v>44</v>
      </c>
    </row>
    <row r="4" customFormat="false" ht="69.75" hidden="false" customHeight="true" outlineLevel="0" collapsed="false">
      <c r="A4" s="22" t="s">
        <v>9</v>
      </c>
      <c r="B4" s="21" t="s">
        <v>45</v>
      </c>
      <c r="C4" s="22" t="s">
        <v>9</v>
      </c>
      <c r="D4" s="21" t="s">
        <v>46</v>
      </c>
    </row>
    <row r="5" customFormat="false" ht="69.75" hidden="false" customHeight="true" outlineLevel="0" collapsed="false">
      <c r="A5" s="23" t="s">
        <v>47</v>
      </c>
      <c r="B5" s="21" t="s">
        <v>48</v>
      </c>
      <c r="C5" s="23" t="s">
        <v>47</v>
      </c>
      <c r="D5" s="21" t="s">
        <v>49</v>
      </c>
    </row>
    <row r="6" customFormat="false" ht="69.75" hidden="false" customHeight="true" outlineLevel="0" collapsed="false">
      <c r="A6" s="24" t="s">
        <v>50</v>
      </c>
      <c r="B6" s="21" t="s">
        <v>51</v>
      </c>
      <c r="C6" s="24" t="s">
        <v>50</v>
      </c>
      <c r="D6" s="21" t="s">
        <v>52</v>
      </c>
    </row>
  </sheetData>
  <mergeCells count="3">
    <mergeCell ref="A1:E1"/>
    <mergeCell ref="A2:B2"/>
    <mergeCell ref="C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8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</row>
    <row r="3" customFormat="false" ht="15" hidden="false" customHeight="false" outlineLevel="0" collapsed="false">
      <c r="A3" s="4" t="n">
        <v>2021</v>
      </c>
      <c r="B3" s="6" t="n">
        <v>35000</v>
      </c>
      <c r="C3" s="4" t="s">
        <v>59</v>
      </c>
      <c r="D3" s="25" t="n">
        <v>80</v>
      </c>
      <c r="E3" s="3" t="s">
        <v>60</v>
      </c>
    </row>
    <row r="4" customFormat="false" ht="15" hidden="false" customHeight="false" outlineLevel="0" collapsed="false">
      <c r="A4" s="8" t="n">
        <v>2022</v>
      </c>
      <c r="B4" s="10" t="n">
        <v>44800</v>
      </c>
      <c r="C4" s="26" t="n">
        <f aca="false">(B4-B3)/B3</f>
        <v>0.28</v>
      </c>
      <c r="D4" s="27" t="n">
        <v>105</v>
      </c>
      <c r="E4" s="7" t="s">
        <v>61</v>
      </c>
    </row>
    <row r="5" customFormat="false" ht="15" hidden="false" customHeight="false" outlineLevel="0" collapsed="false">
      <c r="A5" s="4" t="n">
        <v>2023</v>
      </c>
      <c r="B5" s="6" t="n">
        <v>57700</v>
      </c>
      <c r="C5" s="28" t="n">
        <f aca="false">(B5-B4)/B4</f>
        <v>0.287946428571429</v>
      </c>
      <c r="D5" s="25" t="n">
        <v>135</v>
      </c>
      <c r="E5" s="3" t="s">
        <v>62</v>
      </c>
    </row>
    <row r="6" customFormat="false" ht="15" hidden="false" customHeight="false" outlineLevel="0" collapsed="false">
      <c r="A6" s="8" t="n">
        <v>2024</v>
      </c>
      <c r="B6" s="10" t="n">
        <v>72100</v>
      </c>
      <c r="C6" s="26" t="n">
        <f aca="false">(B6-B5)/B5</f>
        <v>0.249566724436742</v>
      </c>
      <c r="D6" s="27" t="n">
        <v>162</v>
      </c>
      <c r="E6" s="7" t="s">
        <v>63</v>
      </c>
    </row>
    <row r="7" customFormat="false" ht="15" hidden="false" customHeight="false" outlineLevel="0" collapsed="false">
      <c r="A7" s="4" t="n">
        <v>2025</v>
      </c>
      <c r="B7" s="6" t="n">
        <v>89000</v>
      </c>
      <c r="C7" s="28" t="n">
        <f aca="false">(B7-B6)/B6</f>
        <v>0.234396671289875</v>
      </c>
      <c r="D7" s="25" t="n">
        <v>195</v>
      </c>
      <c r="E7" s="3" t="s">
        <v>64</v>
      </c>
    </row>
    <row r="8" customFormat="false" ht="15" hidden="false" customHeight="false" outlineLevel="0" collapsed="false">
      <c r="A8" s="8" t="n">
        <v>2026</v>
      </c>
      <c r="B8" s="10" t="n">
        <v>108000</v>
      </c>
      <c r="C8" s="26" t="n">
        <f aca="false">(B8-B7)/B7</f>
        <v>0.213483146067416</v>
      </c>
      <c r="D8" s="27" t="n">
        <v>230</v>
      </c>
      <c r="E8" s="7" t="s">
        <v>65</v>
      </c>
    </row>
    <row r="9" customFormat="false" ht="15" hidden="false" customHeight="false" outlineLevel="0" collapsed="false">
      <c r="A9" s="4" t="n">
        <v>2027</v>
      </c>
      <c r="B9" s="6" t="n">
        <v>130000</v>
      </c>
      <c r="C9" s="28" t="n">
        <f aca="false">(B9-B8)/B8</f>
        <v>0.203703703703704</v>
      </c>
      <c r="D9" s="25" t="n">
        <v>268</v>
      </c>
      <c r="E9" s="3" t="s">
        <v>66</v>
      </c>
    </row>
    <row r="10" customFormat="false" ht="15" hidden="false" customHeight="false" outlineLevel="0" collapsed="false">
      <c r="A10" s="8" t="n">
        <v>2028</v>
      </c>
      <c r="B10" s="10" t="n">
        <v>154000</v>
      </c>
      <c r="C10" s="26" t="n">
        <f aca="false">(B10-B9)/B9</f>
        <v>0.184615384615385</v>
      </c>
      <c r="D10" s="27" t="n">
        <v>308</v>
      </c>
      <c r="E10" s="7" t="s">
        <v>67</v>
      </c>
    </row>
    <row r="11" customFormat="false" ht="15" hidden="false" customHeight="false" outlineLevel="0" collapsed="false">
      <c r="A11" s="4" t="n">
        <v>2029</v>
      </c>
      <c r="B11" s="6" t="n">
        <v>181000</v>
      </c>
      <c r="C11" s="28" t="n">
        <f aca="false">(B11-B10)/B10</f>
        <v>0.175324675324675</v>
      </c>
      <c r="D11" s="25" t="n">
        <v>350</v>
      </c>
      <c r="E11" s="3" t="s">
        <v>68</v>
      </c>
    </row>
    <row r="12" customFormat="false" ht="15" hidden="false" customHeight="false" outlineLevel="0" collapsed="false">
      <c r="A12" s="8" t="n">
        <v>2030</v>
      </c>
      <c r="B12" s="10" t="n">
        <v>210000</v>
      </c>
      <c r="C12" s="26" t="n">
        <f aca="false">(B12-B11)/B11</f>
        <v>0.160220994475138</v>
      </c>
      <c r="D12" s="27" t="n">
        <v>395</v>
      </c>
      <c r="E12" s="7" t="s">
        <v>69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2026-06-18T12:17:32Z</dcterms:created>
  <dc:creator>openpyxl</dc:creator>
  <dc:description/>
  <dc:language>en-US</dc:language>
  <cp:lastModifiedBy/>
  <dcterms:modified xsi:type="dcterms:W3CDTF">2026-06-18T12:17:32Z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